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diu\Desktop\"/>
    </mc:Choice>
  </mc:AlternateContent>
  <xr:revisionPtr revIDLastSave="0" documentId="13_ncr:1_{03FBCF57-5ED9-4F2B-9547-0E5C2FBE4944}" xr6:coauthVersionLast="45" xr6:coauthVersionMax="45" xr10:uidLastSave="{00000000-0000-0000-0000-000000000000}"/>
  <bookViews>
    <workbookView xWindow="-120" yWindow="-120" windowWidth="24240" windowHeight="13140" xr2:uid="{A789E7AE-476C-4323-8E03-AC58126F5BAF}"/>
  </bookViews>
  <sheets>
    <sheet name="Retirement" sheetId="13" r:id="rId1"/>
  </sheets>
  <definedNames>
    <definedName name="AnnNeeds">Retirement!$B$13</definedName>
    <definedName name="AnnSvgs">Retirement!$B$6</definedName>
    <definedName name="AvgSavings">Retirement!$F$3</definedName>
    <definedName name="Endval">#REF!</definedName>
    <definedName name="FinalSvgs1">Retirement!$F$6</definedName>
    <definedName name="FinalSvgs2">Retirement!$F$7</definedName>
    <definedName name="FinalSvgs3">Retirement!$F$8</definedName>
    <definedName name="FinalSvgs4">Retirement!$F$9</definedName>
    <definedName name="FinalSvgs5">Retirement!$F$10</definedName>
    <definedName name="Irate">#REF!</definedName>
    <definedName name="Payment">#REF!</definedName>
    <definedName name="PostReturn">Retirement!$B$14</definedName>
    <definedName name="PostVol">Retirement!$B$15</definedName>
    <definedName name="PreReturn">Retirement!$B$8</definedName>
    <definedName name="PreVol">Retirement!$B$9</definedName>
    <definedName name="PrVal">#REF!</definedName>
    <definedName name="Savings">Retirement!$B$5</definedName>
    <definedName name="Sims">Retirement!$B$3</definedName>
    <definedName name="StdDevSavings">Retirement!$F$4</definedName>
    <definedName name="tester">Retirement!#REF!</definedName>
    <definedName name="TestMode">Retirement!$B$17</definedName>
    <definedName name="TimeT">#REF!</definedName>
    <definedName name="YrsInRetire">Retirement!$B$12</definedName>
    <definedName name="YrstoRetire">Retirement!$B$7</definedName>
    <definedName name="zed">Retirement!$F$5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13" l="1"/>
  <c r="F12" i="13"/>
  <c r="F14" i="13" s="1"/>
  <c r="L9" i="13"/>
  <c r="L10" i="13"/>
  <c r="L8" i="13"/>
  <c r="L4" i="13"/>
  <c r="L5" i="13"/>
  <c r="L6" i="13"/>
  <c r="L7" i="13"/>
  <c r="L3" i="13"/>
  <c r="J4" i="13"/>
  <c r="J5" i="13"/>
  <c r="J6" i="13"/>
  <c r="J7" i="13"/>
  <c r="J8" i="13"/>
  <c r="J9" i="13"/>
  <c r="J10" i="13"/>
  <c r="J3" i="13"/>
  <c r="K3" i="13" s="1"/>
  <c r="I4" i="13" s="1"/>
  <c r="K4" i="13" l="1"/>
  <c r="M4" i="13" s="1"/>
  <c r="M3" i="13"/>
  <c r="K18" i="13"/>
  <c r="K17" i="13"/>
  <c r="I3" i="13" l="1"/>
  <c r="I5" i="13" l="1"/>
  <c r="K5" i="13" s="1"/>
  <c r="M5" i="13" s="1"/>
  <c r="I6" i="13" l="1"/>
  <c r="K6" i="13" s="1"/>
  <c r="M6" i="13" s="1"/>
  <c r="I7" i="13" l="1"/>
  <c r="K7" i="13" s="1"/>
  <c r="M7" i="13" s="1"/>
  <c r="I8" i="13" l="1"/>
  <c r="K8" i="13" s="1"/>
  <c r="M8" i="13" s="1"/>
  <c r="I9" i="13" l="1"/>
  <c r="K9" i="13" s="1"/>
  <c r="M9" i="13" s="1"/>
  <c r="I10" i="13" l="1"/>
  <c r="K10" i="13" s="1"/>
  <c r="M10" i="1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701862-4B58-4D26-A47C-7B91B246F397}" keepAlive="1" name="Connection" type="5" refreshedVersion="0" background="1">
    <dbPr connection="Provider=Microsoft.Mashup.OleDb.1;Data Source=$Workbook$;Location=&quot;Top Salespersons (7)&quot;;Extended Properties=&quot;&quot;" commandType="0"/>
  </connection>
  <connection id="2" xr16:uid="{0CDD8E83-B03A-4F67-963C-E7BE496BD658}" keepAlive="1" name="Connection1" type="5" refreshedVersion="0" background="1">
    <dbPr connection="Provider=Microsoft.Mashup.OleDb.1;Data Source=$Workbook$;Location=&quot;Top Salespersons (7)&quot;;Extended Properties=&quot;&quot;" commandType="0"/>
  </connection>
</connections>
</file>

<file path=xl/sharedStrings.xml><?xml version="1.0" encoding="utf-8"?>
<sst xmlns="http://schemas.openxmlformats.org/spreadsheetml/2006/main" count="46" uniqueCount="38">
  <si>
    <t xml:space="preserve"> </t>
  </si>
  <si>
    <t>Inputs</t>
  </si>
  <si>
    <t>Year</t>
  </si>
  <si>
    <t>Beg Balance</t>
  </si>
  <si>
    <t>Z</t>
  </si>
  <si>
    <t>Simulations</t>
  </si>
  <si>
    <t>Pre-retirement data</t>
  </si>
  <si>
    <t>Initial savings</t>
  </si>
  <si>
    <t>Annual savings</t>
  </si>
  <si>
    <t>Years until Retirement</t>
  </si>
  <si>
    <t>Expected market volatility</t>
  </si>
  <si>
    <t>Yrs in retirement</t>
  </si>
  <si>
    <t>Annual $ needs</t>
  </si>
  <si>
    <t>Simulation0</t>
  </si>
  <si>
    <t>Simulation1</t>
  </si>
  <si>
    <t>Simulation2</t>
  </si>
  <si>
    <t>Simulation3</t>
  </si>
  <si>
    <t>Simulation4</t>
  </si>
  <si>
    <t>Avg. simulation (check)</t>
  </si>
  <si>
    <t>Std. deviation check</t>
  </si>
  <si>
    <t>Return</t>
  </si>
  <si>
    <t>Balance after return</t>
  </si>
  <si>
    <t>Ending balance</t>
  </si>
  <si>
    <t>Saving/Need</t>
  </si>
  <si>
    <t>Post-retirement data</t>
  </si>
  <si>
    <t xml:space="preserve">Matches ? </t>
  </si>
  <si>
    <t>Average Savings</t>
  </si>
  <si>
    <t>Std Deviation Savings</t>
  </si>
  <si>
    <t>Test mode</t>
  </si>
  <si>
    <t>Using continuous compounding for future value</t>
  </si>
  <si>
    <r>
      <t>Continuous compounding:  FV = PV x e</t>
    </r>
    <r>
      <rPr>
        <vertAlign val="superscript"/>
        <sz val="11"/>
        <color theme="1"/>
        <rFont val="Calibri"/>
        <family val="2"/>
        <scheme val="minor"/>
      </rPr>
      <t>(rt)</t>
    </r>
  </si>
  <si>
    <r>
      <t>Recall:  Discrete FV = PV x (1+r)</t>
    </r>
    <r>
      <rPr>
        <vertAlign val="superscript"/>
        <sz val="11"/>
        <color theme="1"/>
        <rFont val="Calibri"/>
        <family val="2"/>
        <scheme val="minor"/>
      </rPr>
      <t>T</t>
    </r>
  </si>
  <si>
    <r>
      <t xml:space="preserve">Continuous FV = 100 x e </t>
    </r>
    <r>
      <rPr>
        <vertAlign val="superscript"/>
        <sz val="11"/>
        <color theme="1"/>
        <rFont val="Calibri"/>
        <family val="2"/>
        <scheme val="minor"/>
      </rPr>
      <t>(0.1 x 1)</t>
    </r>
    <r>
      <rPr>
        <sz val="11"/>
        <color theme="1"/>
        <rFont val="Calibri"/>
        <family val="2"/>
        <scheme val="minor"/>
      </rPr>
      <t xml:space="preserve"> = </t>
    </r>
  </si>
  <si>
    <r>
      <t>Discrete FV = 100 x (1.1)</t>
    </r>
    <r>
      <rPr>
        <vertAlign val="superscript"/>
        <sz val="11"/>
        <color theme="1"/>
        <rFont val="Calibri"/>
        <family val="2"/>
        <scheme val="minor"/>
      </rPr>
      <t xml:space="preserve">1  = </t>
    </r>
  </si>
  <si>
    <t xml:space="preserve">To get FV of savings:  FV = Initial savings x exp(rate + std deviation x Z) </t>
  </si>
  <si>
    <t>Assuming t = 1 each period</t>
  </si>
  <si>
    <t>Output VBA</t>
  </si>
  <si>
    <t>So if r = 10%, PV = 100, t =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</si>
</sst>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6">
    <xf numFmtId="0" fontId="0" fillId="0" borderId="0" xfId="0"/>
    <xf numFmtId="0" fontId="3" fillId="2" borderId="0" xfId="0" applyFont="1" applyFill="1"/>
    <xf numFmtId="43" fontId="0" fillId="0" borderId="0" xfId="2" applyFont="1"/>
    <xf numFmtId="43" fontId="0" fillId="0" borderId="0" xfId="0" applyNumberFormat="1"/>
    <xf numFmtId="0" fontId="0" fillId="0" borderId="4" xfId="0" applyBorder="1"/>
    <xf numFmtId="0" fontId="0" fillId="0" borderId="6" xfId="0" applyBorder="1"/>
    <xf numFmtId="43" fontId="0" fillId="0" borderId="5" xfId="2" applyFont="1" applyBorder="1"/>
    <xf numFmtId="0" fontId="2" fillId="0" borderId="0" xfId="0" applyFont="1"/>
    <xf numFmtId="0" fontId="0" fillId="0" borderId="1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3" xfId="0" applyBorder="1" applyAlignment="1">
      <alignment horizontal="right" wrapText="1"/>
    </xf>
    <xf numFmtId="0" fontId="0" fillId="0" borderId="2" xfId="0" applyBorder="1" applyAlignment="1">
      <alignment horizontal="right"/>
    </xf>
    <xf numFmtId="43" fontId="3" fillId="2" borderId="0" xfId="2" applyFont="1" applyFill="1"/>
    <xf numFmtId="164" fontId="3" fillId="2" borderId="0" xfId="1" applyNumberFormat="1" applyFont="1" applyFill="1"/>
    <xf numFmtId="43" fontId="0" fillId="0" borderId="7" xfId="2" applyFont="1" applyBorder="1"/>
    <xf numFmtId="0" fontId="2" fillId="0" borderId="0" xfId="0" applyFont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542925</xdr:colOff>
          <xdr:row>15</xdr:row>
          <xdr:rowOff>114300</xdr:rowOff>
        </xdr:from>
        <xdr:to>
          <xdr:col>5</xdr:col>
          <xdr:colOff>133350</xdr:colOff>
          <xdr:row>17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C379F-9B36-4572-ADA6-60C8ABD07AB9}">
  <sheetPr codeName="Sheet6"/>
  <dimension ref="A1:M21"/>
  <sheetViews>
    <sheetView tabSelected="1" topLeftCell="A3" zoomScale="145" zoomScaleNormal="145" workbookViewId="0">
      <selection activeCell="F18" sqref="F18"/>
    </sheetView>
  </sheetViews>
  <sheetFormatPr defaultRowHeight="15" x14ac:dyDescent="0.25"/>
  <cols>
    <col min="1" max="1" width="24" customWidth="1"/>
    <col min="2" max="2" width="13.42578125" customWidth="1"/>
    <col min="3" max="3" width="1.85546875" customWidth="1"/>
    <col min="4" max="4" width="1.28515625" customWidth="1"/>
    <col min="5" max="5" width="23.28515625" customWidth="1"/>
    <col min="6" max="6" width="16.28515625" customWidth="1"/>
    <col min="7" max="7" width="1.7109375" customWidth="1"/>
    <col min="8" max="8" width="5.42578125" customWidth="1"/>
    <col min="9" max="10" width="14" customWidth="1"/>
    <col min="11" max="11" width="15.140625" customWidth="1"/>
    <col min="12" max="12" width="13.42578125" customWidth="1"/>
    <col min="13" max="13" width="15.5703125" customWidth="1"/>
    <col min="14" max="14" width="12.28515625" customWidth="1"/>
  </cols>
  <sheetData>
    <row r="1" spans="1:13" x14ac:dyDescent="0.25">
      <c r="A1" t="s">
        <v>0</v>
      </c>
      <c r="B1" t="s">
        <v>0</v>
      </c>
      <c r="H1" t="s">
        <v>0</v>
      </c>
      <c r="J1" t="s">
        <v>0</v>
      </c>
    </row>
    <row r="2" spans="1:13" ht="30" x14ac:dyDescent="0.25">
      <c r="A2" s="15" t="s">
        <v>1</v>
      </c>
      <c r="B2" s="15"/>
      <c r="E2" s="15" t="s">
        <v>36</v>
      </c>
      <c r="F2" s="15"/>
      <c r="H2" s="8" t="s">
        <v>2</v>
      </c>
      <c r="I2" s="9" t="s">
        <v>3</v>
      </c>
      <c r="J2" s="9" t="s">
        <v>4</v>
      </c>
      <c r="K2" s="10" t="s">
        <v>21</v>
      </c>
      <c r="L2" s="9" t="s">
        <v>23</v>
      </c>
      <c r="M2" s="11" t="s">
        <v>22</v>
      </c>
    </row>
    <row r="3" spans="1:13" x14ac:dyDescent="0.25">
      <c r="A3" t="s">
        <v>5</v>
      </c>
      <c r="B3" s="12">
        <v>5</v>
      </c>
      <c r="E3" s="4" t="s">
        <v>26</v>
      </c>
      <c r="F3" s="6">
        <v>2262083.6163788908</v>
      </c>
      <c r="H3">
        <v>1</v>
      </c>
      <c r="I3" s="2">
        <f>B5</f>
        <v>1000000</v>
      </c>
      <c r="J3">
        <f ca="1">IF(TestMode=1,0,NORMSINV(RAND()))</f>
        <v>0</v>
      </c>
      <c r="K3" s="2">
        <f ca="1">I3*EXP(PreReturn+(J3*PreVol))</f>
        <v>1083287.0676749586</v>
      </c>
      <c r="L3" s="3">
        <f>AnnSvgs</f>
        <v>15000</v>
      </c>
      <c r="M3" s="3">
        <f ca="1">K3+L3</f>
        <v>1098287.0676749586</v>
      </c>
    </row>
    <row r="4" spans="1:13" x14ac:dyDescent="0.25">
      <c r="A4" s="7" t="s">
        <v>6</v>
      </c>
      <c r="B4" s="12"/>
      <c r="E4" s="5" t="s">
        <v>27</v>
      </c>
      <c r="F4" s="14">
        <v>1366625.2478352501</v>
      </c>
      <c r="H4">
        <v>2</v>
      </c>
      <c r="I4" s="3">
        <f ca="1">K3+L3</f>
        <v>1098287.0676749586</v>
      </c>
      <c r="J4">
        <f ca="1">IF(TestMode=1,0,NORMSINV(RAND()))</f>
        <v>0</v>
      </c>
      <c r="K4" s="2">
        <f ca="1">I4*EXP(PreReturn+(J4*PreVol))</f>
        <v>1189760.1770069348</v>
      </c>
      <c r="L4" s="3">
        <f>AnnSvgs</f>
        <v>15000</v>
      </c>
      <c r="M4" s="3">
        <f t="shared" ref="M4:M10" ca="1" si="0">K4+L4</f>
        <v>1204760.1770069348</v>
      </c>
    </row>
    <row r="5" spans="1:13" x14ac:dyDescent="0.25">
      <c r="A5" t="s">
        <v>7</v>
      </c>
      <c r="B5" s="12">
        <v>1000000</v>
      </c>
      <c r="H5">
        <v>3</v>
      </c>
      <c r="I5" s="3">
        <f t="shared" ref="I5:I10" ca="1" si="1">K4+L4</f>
        <v>1204760.1770069348</v>
      </c>
      <c r="J5">
        <f ca="1">IF(TestMode=1,0,NORMSINV(RAND()))</f>
        <v>0</v>
      </c>
      <c r="K5" s="2">
        <f ca="1">I5*EXP(PreReturn+(J5*PreVol))</f>
        <v>1305101.1194014065</v>
      </c>
      <c r="L5" s="3">
        <f>AnnSvgs</f>
        <v>15000</v>
      </c>
      <c r="M5" s="3">
        <f t="shared" ca="1" si="0"/>
        <v>1320101.1194014065</v>
      </c>
    </row>
    <row r="6" spans="1:13" x14ac:dyDescent="0.25">
      <c r="A6" t="s">
        <v>8</v>
      </c>
      <c r="B6" s="12">
        <v>15000</v>
      </c>
      <c r="E6" t="s">
        <v>13</v>
      </c>
      <c r="F6" s="2">
        <v>3763086.6560254567</v>
      </c>
      <c r="H6">
        <v>4</v>
      </c>
      <c r="I6" s="3">
        <f t="shared" ca="1" si="1"/>
        <v>1320101.1194014065</v>
      </c>
      <c r="J6">
        <f ca="1">IF(TestMode=1,0,NORMSINV(RAND()))</f>
        <v>0</v>
      </c>
      <c r="K6" s="2">
        <f ca="1">I6*EXP(PreReturn+(J6*PreVol))</f>
        <v>1430048.4706707802</v>
      </c>
      <c r="L6" s="3">
        <f>AnnSvgs</f>
        <v>15000</v>
      </c>
      <c r="M6" s="3">
        <f t="shared" ca="1" si="0"/>
        <v>1445048.4706707802</v>
      </c>
    </row>
    <row r="7" spans="1:13" x14ac:dyDescent="0.25">
      <c r="A7" t="s">
        <v>9</v>
      </c>
      <c r="B7" s="12">
        <v>5</v>
      </c>
      <c r="E7" t="s">
        <v>14</v>
      </c>
      <c r="F7" s="2">
        <v>805910.60292676231</v>
      </c>
      <c r="H7">
        <v>5</v>
      </c>
      <c r="I7" s="3">
        <f t="shared" ca="1" si="1"/>
        <v>1445048.4706707802</v>
      </c>
      <c r="J7">
        <f ca="1">IF(TestMode=1,0,NORMSINV(RAND()))</f>
        <v>0</v>
      </c>
      <c r="K7" s="2">
        <f ca="1">I7*EXP(PreReturn+(J7*PreVol))</f>
        <v>1565402.3204411329</v>
      </c>
      <c r="L7" s="3">
        <f>AnnSvgs</f>
        <v>15000</v>
      </c>
      <c r="M7" s="3">
        <f t="shared" ca="1" si="0"/>
        <v>1580402.3204411329</v>
      </c>
    </row>
    <row r="8" spans="1:13" x14ac:dyDescent="0.25">
      <c r="A8" t="s">
        <v>20</v>
      </c>
      <c r="B8" s="13">
        <v>0.08</v>
      </c>
      <c r="E8" t="s">
        <v>15</v>
      </c>
      <c r="F8" s="2">
        <v>1126811.2242785555</v>
      </c>
      <c r="G8" t="s">
        <v>0</v>
      </c>
      <c r="H8">
        <v>1</v>
      </c>
      <c r="I8" s="3">
        <f t="shared" ca="1" si="1"/>
        <v>1580402.3204411329</v>
      </c>
      <c r="J8">
        <f ca="1">IF(TestMode=1,0,NORMSINV(RAND()))</f>
        <v>0</v>
      </c>
      <c r="K8" s="2">
        <f ca="1">I8*EXP(PreReturn+(J8*PreVol))</f>
        <v>1712029.3954573751</v>
      </c>
      <c r="L8" s="3">
        <f>AnnNeeds*-1</f>
        <v>-120000</v>
      </c>
      <c r="M8" s="3">
        <f t="shared" ca="1" si="0"/>
        <v>1592029.3954573751</v>
      </c>
    </row>
    <row r="9" spans="1:13" x14ac:dyDescent="0.25">
      <c r="A9" t="s">
        <v>10</v>
      </c>
      <c r="B9" s="13">
        <v>0.1</v>
      </c>
      <c r="E9" t="s">
        <v>16</v>
      </c>
      <c r="F9" s="2">
        <v>3586353.1357661407</v>
      </c>
      <c r="G9" t="s">
        <v>0</v>
      </c>
      <c r="H9">
        <v>2</v>
      </c>
      <c r="I9" s="3">
        <f t="shared" ca="1" si="1"/>
        <v>1592029.3954573751</v>
      </c>
      <c r="J9">
        <f ca="1">IF(TestMode=1,0,NORMSINV(RAND()))</f>
        <v>0</v>
      </c>
      <c r="K9" s="2">
        <f ca="1">I9*EXP(PreReturn+(J9*PreVol))</f>
        <v>1724624.8554573569</v>
      </c>
      <c r="L9" s="3">
        <f>AnnNeeds*-1</f>
        <v>-120000</v>
      </c>
      <c r="M9" s="3">
        <f t="shared" ca="1" si="0"/>
        <v>1604624.8554573569</v>
      </c>
    </row>
    <row r="10" spans="1:13" x14ac:dyDescent="0.25">
      <c r="B10" s="12"/>
      <c r="E10" t="s">
        <v>17</v>
      </c>
      <c r="F10" s="2">
        <v>2028256.4628975401</v>
      </c>
      <c r="G10" t="s">
        <v>0</v>
      </c>
      <c r="H10">
        <v>3</v>
      </c>
      <c r="I10" s="3">
        <f t="shared" ca="1" si="1"/>
        <v>1604624.8554573569</v>
      </c>
      <c r="J10">
        <f ca="1">IF(TestMode=1,0,NORMSINV(RAND()))</f>
        <v>0</v>
      </c>
      <c r="K10" s="2">
        <f ca="1">I10*EXP(PreReturn+(J10*PreVol))</f>
        <v>1738269.3543867546</v>
      </c>
      <c r="L10" s="3">
        <f>AnnNeeds*-1</f>
        <v>-120000</v>
      </c>
      <c r="M10" s="3">
        <f t="shared" ca="1" si="0"/>
        <v>1618269.3543867546</v>
      </c>
    </row>
    <row r="11" spans="1:13" x14ac:dyDescent="0.25">
      <c r="A11" s="7" t="s">
        <v>24</v>
      </c>
      <c r="B11" s="12"/>
    </row>
    <row r="12" spans="1:13" x14ac:dyDescent="0.25">
      <c r="A12" t="s">
        <v>11</v>
      </c>
      <c r="B12" s="12">
        <v>3</v>
      </c>
      <c r="E12" t="s">
        <v>18</v>
      </c>
      <c r="F12" s="2">
        <f>AVERAGE(F6:F10)</f>
        <v>2262083.6163788908</v>
      </c>
      <c r="I12" t="s">
        <v>29</v>
      </c>
    </row>
    <row r="13" spans="1:13" x14ac:dyDescent="0.25">
      <c r="A13" t="s">
        <v>12</v>
      </c>
      <c r="B13" s="12">
        <v>120000</v>
      </c>
      <c r="E13" t="s">
        <v>19</v>
      </c>
      <c r="F13" s="2">
        <f>_xlfn.STDEV.S(F6:F10)</f>
        <v>1366625.2478352501</v>
      </c>
    </row>
    <row r="14" spans="1:13" ht="17.25" x14ac:dyDescent="0.25">
      <c r="A14" t="s">
        <v>20</v>
      </c>
      <c r="B14" s="13">
        <v>0.06</v>
      </c>
      <c r="E14" t="s">
        <v>25</v>
      </c>
      <c r="F14" s="3" t="b">
        <f>ABS(AvgSavings-F12)&lt;0.01</f>
        <v>1</v>
      </c>
      <c r="I14" t="s">
        <v>31</v>
      </c>
    </row>
    <row r="15" spans="1:13" ht="17.25" x14ac:dyDescent="0.25">
      <c r="A15" t="s">
        <v>10</v>
      </c>
      <c r="B15" s="13">
        <v>0.15</v>
      </c>
      <c r="I15" t="s">
        <v>30</v>
      </c>
    </row>
    <row r="16" spans="1:13" x14ac:dyDescent="0.25">
      <c r="I16" t="s">
        <v>37</v>
      </c>
    </row>
    <row r="17" spans="1:11" ht="17.25" x14ac:dyDescent="0.25">
      <c r="A17" t="s">
        <v>28</v>
      </c>
      <c r="B17" s="1">
        <v>1</v>
      </c>
      <c r="I17" t="s">
        <v>33</v>
      </c>
      <c r="K17">
        <f>100*1.1</f>
        <v>110.00000000000001</v>
      </c>
    </row>
    <row r="18" spans="1:11" ht="17.25" x14ac:dyDescent="0.25">
      <c r="I18" t="s">
        <v>32</v>
      </c>
      <c r="K18">
        <f>100*EXP(0.1*1)</f>
        <v>110.51709180756477</v>
      </c>
    </row>
    <row r="20" spans="1:11" x14ac:dyDescent="0.25">
      <c r="I20" t="s">
        <v>34</v>
      </c>
    </row>
    <row r="21" spans="1:11" x14ac:dyDescent="0.25">
      <c r="I21" t="s">
        <v>35</v>
      </c>
    </row>
  </sheetData>
  <mergeCells count="2">
    <mergeCell ref="E2:F2"/>
    <mergeCell ref="A2:B2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ire">
                <anchor moveWithCells="1" sizeWithCells="1">
                  <from>
                    <xdr:col>4</xdr:col>
                    <xdr:colOff>542925</xdr:colOff>
                    <xdr:row>15</xdr:row>
                    <xdr:rowOff>114300</xdr:rowOff>
                  </from>
                  <to>
                    <xdr:col>5</xdr:col>
                    <xdr:colOff>133350</xdr:colOff>
                    <xdr:row>17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42D22A1-E89A-44B2-B503-C5F4D7465A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</vt:i4>
      </vt:variant>
    </vt:vector>
  </HeadingPairs>
  <TitlesOfParts>
    <vt:vector size="20" baseType="lpstr">
      <vt:lpstr>Retirement</vt:lpstr>
      <vt:lpstr>AnnNeeds</vt:lpstr>
      <vt:lpstr>AnnSvgs</vt:lpstr>
      <vt:lpstr>AvgSavings</vt:lpstr>
      <vt:lpstr>FinalSvgs1</vt:lpstr>
      <vt:lpstr>FinalSvgs2</vt:lpstr>
      <vt:lpstr>FinalSvgs3</vt:lpstr>
      <vt:lpstr>FinalSvgs4</vt:lpstr>
      <vt:lpstr>FinalSvgs5</vt:lpstr>
      <vt:lpstr>PostReturn</vt:lpstr>
      <vt:lpstr>PostVol</vt:lpstr>
      <vt:lpstr>PreReturn</vt:lpstr>
      <vt:lpstr>PreVol</vt:lpstr>
      <vt:lpstr>Savings</vt:lpstr>
      <vt:lpstr>Sims</vt:lpstr>
      <vt:lpstr>StdDevSavings</vt:lpstr>
      <vt:lpstr>TestMode</vt:lpstr>
      <vt:lpstr>YrsInRetire</vt:lpstr>
      <vt:lpstr>YrstoRetire</vt:lpstr>
      <vt:lpstr>zed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Jacqueline Garner</dc:creator>
  <cp:lastModifiedBy>DAVID B FRIEND</cp:lastModifiedBy>
  <dcterms:created xsi:type="dcterms:W3CDTF">2018-07-08T03:02:00Z</dcterms:created>
  <dcterms:modified xsi:type="dcterms:W3CDTF">2020-11-25T23:32:20Z</dcterms:modified>
</cp:coreProperties>
</file>